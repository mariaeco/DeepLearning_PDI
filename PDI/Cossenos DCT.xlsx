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Maria\DeepLearning_PDI\PDI\"/>
    </mc:Choice>
  </mc:AlternateContent>
  <xr:revisionPtr revIDLastSave="0" documentId="13_ncr:1_{F6A169B5-8597-4954-9B02-396AF6615B00}" xr6:coauthVersionLast="47" xr6:coauthVersionMax="47" xr10:uidLastSave="{00000000-0000-0000-0000-000000000000}"/>
  <bookViews>
    <workbookView xWindow="28725" yWindow="105" windowWidth="12840" windowHeight="15420" xr2:uid="{8362103E-18F8-4FBA-AF0A-0D658EC61B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" i="1" l="1"/>
  <c r="M36" i="1"/>
  <c r="N33" i="1"/>
  <c r="N32" i="1"/>
  <c r="L33" i="1"/>
  <c r="L6" i="1"/>
  <c r="L7" i="1"/>
  <c r="L8" i="1"/>
  <c r="L9" i="1"/>
  <c r="L10" i="1"/>
  <c r="L11" i="1"/>
  <c r="L12" i="1"/>
  <c r="L5" i="1"/>
  <c r="K6" i="1"/>
  <c r="K7" i="1"/>
  <c r="K8" i="1"/>
  <c r="K9" i="1"/>
  <c r="K10" i="1"/>
  <c r="K11" i="1"/>
  <c r="K12" i="1"/>
  <c r="K5" i="1"/>
  <c r="B7" i="1"/>
  <c r="B5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" i="1"/>
  <c r="N6" i="1" l="1"/>
  <c r="N5" i="1"/>
</calcChain>
</file>

<file path=xl/sharedStrings.xml><?xml version="1.0" encoding="utf-8"?>
<sst xmlns="http://schemas.openxmlformats.org/spreadsheetml/2006/main" count="19" uniqueCount="14">
  <si>
    <t>N</t>
  </si>
  <si>
    <t xml:space="preserve">Xk </t>
  </si>
  <si>
    <t>n</t>
  </si>
  <si>
    <t>xk[n]</t>
  </si>
  <si>
    <t>k</t>
  </si>
  <si>
    <t>X[k]</t>
  </si>
  <si>
    <t>k=0</t>
  </si>
  <si>
    <t>k&gt;0</t>
  </si>
  <si>
    <t>SUM K=0</t>
  </si>
  <si>
    <t>SUM &gt; 0</t>
  </si>
  <si>
    <t>K=0</t>
  </si>
  <si>
    <t>K&gt;0</t>
  </si>
  <si>
    <t>x[n]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</si>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</sst>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Planilha1!$B$4</c:f>
              <c:strCache>
                <c:ptCount val="1"/>
                <c:pt idx="0">
                  <c:v>xk[n]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Planilha1!$A$5:$A$68</c:f>
              <c:numCache>
                <c:formatCode>General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xVal>
          <c:yVal>
            <c:numRef>
              <c:f>Planilha1!$B$5:$B$68</c:f>
              <c:numCache>
                <c:formatCode>General</c:formatCode>
                <c:ptCount val="64"/>
                <c:pt idx="0">
                  <c:v>1.7672345346106675</c:v>
                </c:pt>
                <c:pt idx="1">
                  <c:v>1.7629771118253268</c:v>
                </c:pt>
                <c:pt idx="2">
                  <c:v>1.7544725227590414</c:v>
                </c:pt>
                <c:pt idx="3">
                  <c:v>1.7417412557117862</c:v>
                </c:pt>
                <c:pt idx="4">
                  <c:v>1.7248139814210055</c:v>
                </c:pt>
                <c:pt idx="5">
                  <c:v>1.7037314791731193</c:v>
                </c:pt>
                <c:pt idx="6">
                  <c:v>1.6785445385626525</c:v>
                </c:pt>
                <c:pt idx="7">
                  <c:v>1.6493138371356508</c:v>
                </c:pt>
                <c:pt idx="8">
                  <c:v>1.6161097942121589</c:v>
                </c:pt>
                <c:pt idx="9">
                  <c:v>1.5790124012399103</c:v>
                </c:pt>
                <c:pt idx="10">
                  <c:v>1.538111029087923</c:v>
                </c:pt>
                <c:pt idx="11">
                  <c:v>1.4935042127442482</c:v>
                </c:pt>
                <c:pt idx="12">
                  <c:v>1.4452994139365531</c:v>
                </c:pt>
                <c:pt idx="13">
                  <c:v>1.3936127622474077</c:v>
                </c:pt>
                <c:pt idx="14">
                  <c:v>1.3385687753479472</c:v>
                </c:pt>
                <c:pt idx="15">
                  <c:v>1.2803000590238958</c:v>
                </c:pt>
                <c:pt idx="16">
                  <c:v>1.218946987716615</c:v>
                </c:pt>
                <c:pt idx="17">
                  <c:v>1.1546573663487785</c:v>
                </c:pt>
                <c:pt idx="18">
                  <c:v>1.0875860742493673</c:v>
                </c:pt>
                <c:pt idx="19">
                  <c:v>1.0178946920358001</c:v>
                </c:pt>
                <c:pt idx="20">
                  <c:v>0.94575111235207354</c:v>
                </c:pt>
                <c:pt idx="21">
                  <c:v>0.87132913540067702</c:v>
                </c:pt>
                <c:pt idx="22">
                  <c:v>0.79480805024268186</c:v>
                </c:pt>
                <c:pt idx="23">
                  <c:v>0.71637220287468872</c:v>
                </c:pt>
                <c:pt idx="24">
                  <c:v>0.63621055212317623</c:v>
                </c:pt>
                <c:pt idx="25">
                  <c:v>0.55451621442613608</c:v>
                </c:pt>
                <c:pt idx="26">
                  <c:v>0.47148599859865931</c:v>
                </c:pt>
                <c:pt idx="27">
                  <c:v>0.38731993170326268</c:v>
                </c:pt>
                <c:pt idx="28">
                  <c:v>0.30222077716717322</c:v>
                </c:pt>
                <c:pt idx="29">
                  <c:v>0.21639354630747443</c:v>
                </c:pt>
                <c:pt idx="30">
                  <c:v>0.13004500444088518</c:v>
                </c:pt>
                <c:pt idx="31">
                  <c:v>4.3383172768000348E-2</c:v>
                </c:pt>
                <c:pt idx="32">
                  <c:v>-4.3383172767999738E-2</c:v>
                </c:pt>
                <c:pt idx="33">
                  <c:v>-0.13004500444088457</c:v>
                </c:pt>
                <c:pt idx="34">
                  <c:v>-0.2163935463074742</c:v>
                </c:pt>
                <c:pt idx="35">
                  <c:v>-0.30222077716717266</c:v>
                </c:pt>
                <c:pt idx="36">
                  <c:v>-0.38731993170326212</c:v>
                </c:pt>
                <c:pt idx="37">
                  <c:v>-0.47148599859865908</c:v>
                </c:pt>
                <c:pt idx="38">
                  <c:v>-0.55451621442613552</c:v>
                </c:pt>
                <c:pt idx="39">
                  <c:v>-0.63621055212317568</c:v>
                </c:pt>
                <c:pt idx="40">
                  <c:v>-0.71637220287468828</c:v>
                </c:pt>
                <c:pt idx="41">
                  <c:v>-0.79480805024268097</c:v>
                </c:pt>
                <c:pt idx="42">
                  <c:v>-0.8713291354006768</c:v>
                </c:pt>
                <c:pt idx="43">
                  <c:v>-0.94575111235207321</c:v>
                </c:pt>
                <c:pt idx="44">
                  <c:v>-1.0178946920357996</c:v>
                </c:pt>
                <c:pt idx="45">
                  <c:v>-1.087586074249367</c:v>
                </c:pt>
                <c:pt idx="46">
                  <c:v>-1.154657366348778</c:v>
                </c:pt>
                <c:pt idx="47">
                  <c:v>-1.218946987716615</c:v>
                </c:pt>
                <c:pt idx="48">
                  <c:v>-1.2803000590238955</c:v>
                </c:pt>
                <c:pt idx="49">
                  <c:v>-1.3385687753479467</c:v>
                </c:pt>
                <c:pt idx="50">
                  <c:v>-1.3936127622474077</c:v>
                </c:pt>
                <c:pt idx="51">
                  <c:v>-1.4452994139365529</c:v>
                </c:pt>
                <c:pt idx="52">
                  <c:v>-1.4935042127442482</c:v>
                </c:pt>
                <c:pt idx="53">
                  <c:v>-1.5381110290879227</c:v>
                </c:pt>
                <c:pt idx="54">
                  <c:v>-1.57901240123991</c:v>
                </c:pt>
                <c:pt idx="55">
                  <c:v>-1.6161097942121589</c:v>
                </c:pt>
                <c:pt idx="56">
                  <c:v>-1.6493138371356506</c:v>
                </c:pt>
                <c:pt idx="57">
                  <c:v>-1.6785445385626523</c:v>
                </c:pt>
                <c:pt idx="58">
                  <c:v>-1.7037314791731193</c:v>
                </c:pt>
                <c:pt idx="59">
                  <c:v>-1.7248139814210053</c:v>
                </c:pt>
                <c:pt idx="60">
                  <c:v>-1.7417412557117862</c:v>
                </c:pt>
                <c:pt idx="61">
                  <c:v>-1.7544725227590414</c:v>
                </c:pt>
                <c:pt idx="62">
                  <c:v>-1.7629771118253268</c:v>
                </c:pt>
                <c:pt idx="63">
                  <c:v>-1.7672345346106675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29-4DA1-9074-95820D483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09728"/>
        <c:axId val="540805888"/>
      </c:scatterChart>
      <c:valAx>
        <c:axId val="54080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0805888"/>
        <c:crosses val="autoZero"/>
        <c:crossBetween val="midCat"/>
      </c:valAx>
      <c:valAx>
        <c:axId val="5408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080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Planilha1!$J$4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Planilha1!$I$5:$I$12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Planilha1!$J$5:$J$12</c:f>
              <c:numCache>
                <c:formatCode>General</c:formatCode>
                <c:ptCount val="8"/>
                <c:pt idx="0">
                  <c:v>11.62</c:v>
                </c:pt>
                <c:pt idx="1">
                  <c:v>5.93</c:v>
                </c:pt>
                <c:pt idx="2">
                  <c:v>2.15</c:v>
                </c:pt>
                <c:pt idx="3">
                  <c:v>0.47</c:v>
                </c:pt>
                <c:pt idx="4">
                  <c:v>-0.54</c:v>
                </c:pt>
                <c:pt idx="5">
                  <c:v>0.96</c:v>
                </c:pt>
                <c:pt idx="6">
                  <c:v>3.69</c:v>
                </c:pt>
                <c:pt idx="7">
                  <c:v>4.0199999999999996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0-49D8-9BAC-29BCD237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595312"/>
        <c:axId val="690600112"/>
      </c:scatterChart>
      <c:valAx>
        <c:axId val="69059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600112"/>
        <c:crosses val="autoZero"/>
        <c:crossBetween val="midCat"/>
      </c:valAx>
      <c:valAx>
        <c:axId val="690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59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Planilha1!$Q$4</c:f>
              <c:strCache>
                <c:ptCount val="1"/>
                <c:pt idx="0">
                  <c:v>X[k]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Planilha1!$P$5:$P$12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Planilha1!$Q$5:$Q$12</c:f>
              <c:numCache>
                <c:formatCode>General</c:formatCode>
                <c:ptCount val="8"/>
                <c:pt idx="0">
                  <c:v>10.005560953789647</c:v>
                </c:pt>
                <c:pt idx="1">
                  <c:v>5.0873149325759348</c:v>
                </c:pt>
                <c:pt idx="2">
                  <c:v>8.5027083002245245</c:v>
                </c:pt>
                <c:pt idx="3">
                  <c:v>2.076953156576788</c:v>
                </c:pt>
                <c:pt idx="4">
                  <c:v>1.004091629284896</c:v>
                </c:pt>
                <c:pt idx="5">
                  <c:v>1.5486582672352545</c:v>
                </c:pt>
                <c:pt idx="6">
                  <c:v>-1.2495170964575975E-3</c:v>
                </c:pt>
                <c:pt idx="7">
                  <c:v>0.1185324153957219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2-49BE-8053-295138F4C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170944"/>
        <c:axId val="537162784"/>
      </c:scatterChart>
      <c:valAx>
        <c:axId val="53717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7162784"/>
        <c:crosses val="autoZero"/>
        <c:crossBetween val="midCat"/>
      </c:valAx>
      <c:valAx>
        <c:axId val="5371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717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</xdr:colOff>
      <xdr:row>2</xdr:row>
      <xdr:rowOff>169862</xdr:rowOff>
    </xdr:from>
    <xdr:to>
      <xdr:col>6</xdr:col>
      <xdr:colOff>200025</xdr:colOff>
      <xdr:row>12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3959DD-867A-46D7-5C89-CC11FECC0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12</xdr:row>
      <xdr:rowOff>19050</xdr:rowOff>
    </xdr:from>
    <xdr:to>
      <xdr:col>14</xdr:col>
      <xdr:colOff>19050</xdr:colOff>
      <xdr:row>27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873B71-82F5-294E-8907-2DF583C53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111125</xdr:colOff>
      <xdr:row>12</xdr:row>
      <xdr:rowOff>9524</xdr:rowOff>
    </xdr:from>
    <xdr:to>
      <xdr:col>21</xdr:col>
      <xdr:colOff>19050</xdr:colOff>
      <xdr:row>27</xdr:row>
      <xdr:rowOff>9524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7EE48CB-8C0D-FB8C-FECB-7758BEF30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1E92-E0F3-40F5-96F9-737214EBC6AF}">
  <dimension ref="A1:Q68"/>
  <sheetViews>
    <sheetView tabSelected="1" topLeftCell="F1" workbookViewId="0">
      <selection activeCell="M36" sqref="M36"/>
    </sheetView>
  </sheetViews>
  <sheetFormatPr defaultRowHeight="14.5" x14ac:dyDescent="0.35"/>
  <cols>
    <col min="2" max="2" width="10.54296875" customWidth="1"/>
    <col min="11" max="12" width="13.26953125" customWidth="1"/>
    <col min="13" max="13" width="11.81640625" bestFit="1" customWidth="1"/>
  </cols>
  <sheetData>
    <row r="1" spans="1:17" x14ac:dyDescent="0.35">
      <c r="A1" s="5" t="s">
        <v>0</v>
      </c>
      <c r="B1" s="5" t="s">
        <v>1</v>
      </c>
      <c r="C1" s="5" t="s">
        <v>4</v>
      </c>
      <c r="I1" s="2"/>
      <c r="J1" s="3" t="s">
        <v>0</v>
      </c>
      <c r="K1" s="3" t="s">
        <v>10</v>
      </c>
      <c r="L1" s="3" t="s">
        <v>11</v>
      </c>
      <c r="M1" s="2"/>
      <c r="N1" s="2"/>
    </row>
    <row r="2" spans="1:17" x14ac:dyDescent="0.35">
      <c r="A2" s="5">
        <v>64</v>
      </c>
      <c r="B2" s="5">
        <v>10</v>
      </c>
      <c r="C2" s="5">
        <v>1</v>
      </c>
      <c r="I2" s="2"/>
      <c r="J2" s="3">
        <v>8</v>
      </c>
      <c r="K2" s="3">
        <v>0</v>
      </c>
      <c r="L2" s="3">
        <v>7</v>
      </c>
      <c r="M2" s="2"/>
      <c r="N2" s="2"/>
    </row>
    <row r="3" spans="1:17" x14ac:dyDescent="0.35">
      <c r="I3" s="1"/>
      <c r="J3" s="1"/>
      <c r="K3" s="1"/>
      <c r="L3" s="1"/>
      <c r="M3" s="1"/>
      <c r="N3" s="1"/>
    </row>
    <row r="4" spans="1:17" x14ac:dyDescent="0.35">
      <c r="A4" s="4" t="s">
        <v>2</v>
      </c>
      <c r="B4" s="4" t="s">
        <v>3</v>
      </c>
      <c r="I4" s="1" t="s">
        <v>2</v>
      </c>
      <c r="J4" s="1" t="s">
        <v>12</v>
      </c>
      <c r="K4" s="1" t="s">
        <v>8</v>
      </c>
      <c r="L4" s="1" t="s">
        <v>9</v>
      </c>
      <c r="M4" s="1" t="s">
        <v>4</v>
      </c>
      <c r="N4" s="1" t="s">
        <v>5</v>
      </c>
      <c r="P4" s="1" t="s">
        <v>4</v>
      </c>
      <c r="Q4" s="1" t="s">
        <v>5</v>
      </c>
    </row>
    <row r="5" spans="1:17" x14ac:dyDescent="0.35">
      <c r="A5" s="4">
        <v>0</v>
      </c>
      <c r="B5" s="4">
        <f>((2/$A$2)^(1/2))*1*$B$2*(COS((2*PI()*(($C$2/(2*$A$2))*A5)+($C$2*PI())/(2*$A$2))))</f>
        <v>1.7672345346106675</v>
      </c>
      <c r="I5" s="1">
        <v>0</v>
      </c>
      <c r="J5" s="1">
        <v>11.62</v>
      </c>
      <c r="K5" s="1">
        <f>J5*(COS(((2*PI()*$K$2*I5)/(2*$J$2))+(($K$2*PI())/(2*$J$2))))</f>
        <v>11.62</v>
      </c>
      <c r="L5" s="1">
        <f>J5*(COS(((2*PI()*$L$2*I5)/(2*$J$2))+(($L$2*PI())/(2*$J$2))))</f>
        <v>2.2669495418274113</v>
      </c>
      <c r="M5" s="1" t="s">
        <v>6</v>
      </c>
      <c r="N5" s="1">
        <f>((2/8)^(1/2))*(1/2)^(1/2)*SUM(K5:K12)</f>
        <v>10.005560953789647</v>
      </c>
      <c r="P5" s="1">
        <v>0</v>
      </c>
      <c r="Q5" s="1">
        <v>10.005560953789647</v>
      </c>
    </row>
    <row r="6" spans="1:17" x14ac:dyDescent="0.35">
      <c r="A6" s="4">
        <v>1</v>
      </c>
      <c r="B6" s="4">
        <f>((2/$A$2)^(1/2))*1*$B$2*(COS((2*PI()*(($C$2/(2*$A$2))*A6)+($C$2*PI())/(2*$A$2))))</f>
        <v>1.7629771118253268</v>
      </c>
      <c r="I6" s="1">
        <v>1</v>
      </c>
      <c r="J6" s="1">
        <v>5.93</v>
      </c>
      <c r="K6" s="1">
        <f t="shared" ref="K6:K12" si="0">J6*(COS(((2*PI()*$K$2*I6)/(2*$J$2))+(($K$2*PI())/(2*$J$2))))</f>
        <v>5.93</v>
      </c>
      <c r="L6" s="1">
        <f t="shared" ref="L6:L12" si="1">J6*(COS(((2*PI()*$L$2*I6)/(2*$J$2))+(($L$2*PI())/(2*$J$2))))</f>
        <v>-3.2945314818062408</v>
      </c>
      <c r="M6" s="1" t="s">
        <v>7</v>
      </c>
      <c r="N6" s="1">
        <f>((2/8)^(1/2))*1*SUM(L5:L12)</f>
        <v>0.1185324153957219</v>
      </c>
      <c r="P6" s="1">
        <v>1</v>
      </c>
      <c r="Q6" s="1">
        <v>5.0873149325759348</v>
      </c>
    </row>
    <row r="7" spans="1:17" x14ac:dyDescent="0.35">
      <c r="A7" s="4">
        <v>2</v>
      </c>
      <c r="B7" s="4">
        <f>((2/$A$2)^(1/2))*1*$B$2*(COS((2*PI()*(($C$2/(2*$A$2))*A7)+($C$2*PI())/(2*$A$2))))</f>
        <v>1.7544725227590414</v>
      </c>
      <c r="I7" s="1">
        <v>2</v>
      </c>
      <c r="J7" s="1">
        <v>2.15</v>
      </c>
      <c r="K7" s="1">
        <f t="shared" si="0"/>
        <v>2.15</v>
      </c>
      <c r="L7" s="1">
        <f t="shared" si="1"/>
        <v>1.7876596664504727</v>
      </c>
      <c r="M7" s="1"/>
      <c r="N7" s="1"/>
      <c r="P7" s="1">
        <v>2</v>
      </c>
      <c r="Q7" s="1">
        <v>8.5027083002245245</v>
      </c>
    </row>
    <row r="8" spans="1:17" x14ac:dyDescent="0.35">
      <c r="A8" s="4">
        <v>3</v>
      </c>
      <c r="B8" s="4">
        <f t="shared" ref="B8:B68" si="2">((2/$A$2)^(1/2))*1*$B$2*(COS((2*PI()*(($C$2/(2*$A$2))*A8)+($C$2*PI())/(2*$A$2))))</f>
        <v>1.7417412557117862</v>
      </c>
      <c r="I8" s="1">
        <v>3</v>
      </c>
      <c r="J8" s="1">
        <v>0.47</v>
      </c>
      <c r="K8" s="1">
        <f t="shared" si="0"/>
        <v>0.47</v>
      </c>
      <c r="L8" s="1">
        <f t="shared" si="1"/>
        <v>-0.46096908178951823</v>
      </c>
      <c r="M8" s="1"/>
      <c r="N8" s="1"/>
      <c r="P8" s="1">
        <v>3</v>
      </c>
      <c r="Q8" s="1">
        <v>2.076953156576788</v>
      </c>
    </row>
    <row r="9" spans="1:17" x14ac:dyDescent="0.35">
      <c r="A9" s="4">
        <v>4</v>
      </c>
      <c r="B9" s="4">
        <f t="shared" si="2"/>
        <v>1.7248139814210055</v>
      </c>
      <c r="I9" s="1">
        <v>4</v>
      </c>
      <c r="J9" s="1">
        <v>-0.54</v>
      </c>
      <c r="K9" s="1">
        <f t="shared" si="0"/>
        <v>-0.54</v>
      </c>
      <c r="L9" s="1">
        <f t="shared" si="1"/>
        <v>-0.52962405141774449</v>
      </c>
      <c r="M9" s="1"/>
      <c r="N9" s="1"/>
      <c r="P9" s="1">
        <v>4</v>
      </c>
      <c r="Q9" s="1">
        <v>1.004091629284896</v>
      </c>
    </row>
    <row r="10" spans="1:17" x14ac:dyDescent="0.35">
      <c r="A10" s="4">
        <v>5</v>
      </c>
      <c r="B10" s="4">
        <f t="shared" si="2"/>
        <v>1.7037314791731193</v>
      </c>
      <c r="I10" s="1">
        <v>5</v>
      </c>
      <c r="J10" s="1">
        <v>0.96</v>
      </c>
      <c r="K10" s="1">
        <f t="shared" si="0"/>
        <v>0.96</v>
      </c>
      <c r="L10" s="1">
        <f t="shared" si="1"/>
        <v>-0.79821082781044317</v>
      </c>
      <c r="M10" s="1"/>
      <c r="N10" s="1"/>
      <c r="P10" s="1">
        <v>5</v>
      </c>
      <c r="Q10" s="1">
        <v>1.5486582672352545</v>
      </c>
    </row>
    <row r="11" spans="1:17" x14ac:dyDescent="0.35">
      <c r="A11" s="4">
        <v>6</v>
      </c>
      <c r="B11" s="4">
        <f t="shared" si="2"/>
        <v>1.6785445385626525</v>
      </c>
      <c r="I11" s="1">
        <v>6</v>
      </c>
      <c r="J11" s="1">
        <v>3.69</v>
      </c>
      <c r="K11" s="1">
        <f t="shared" si="0"/>
        <v>3.69</v>
      </c>
      <c r="L11" s="1">
        <f t="shared" si="1"/>
        <v>2.0500541598423294</v>
      </c>
      <c r="M11" s="1"/>
      <c r="N11" s="1"/>
      <c r="P11" s="1">
        <v>6</v>
      </c>
      <c r="Q11" s="1">
        <v>-1.2495170964575975E-3</v>
      </c>
    </row>
    <row r="12" spans="1:17" x14ac:dyDescent="0.35">
      <c r="A12" s="4">
        <v>7</v>
      </c>
      <c r="B12" s="4">
        <f t="shared" si="2"/>
        <v>1.6493138371356508</v>
      </c>
      <c r="I12" s="1">
        <v>7</v>
      </c>
      <c r="J12" s="1">
        <v>4.0199999999999996</v>
      </c>
      <c r="K12" s="1">
        <f t="shared" si="0"/>
        <v>4.0199999999999996</v>
      </c>
      <c r="L12" s="1">
        <f t="shared" si="1"/>
        <v>-0.78426309450482279</v>
      </c>
      <c r="M12" s="1"/>
      <c r="N12" s="1"/>
      <c r="P12" s="1">
        <v>7</v>
      </c>
      <c r="Q12" s="1">
        <v>0.1185324153957219</v>
      </c>
    </row>
    <row r="13" spans="1:17" x14ac:dyDescent="0.35">
      <c r="A13" s="4">
        <v>8</v>
      </c>
      <c r="B13" s="4">
        <f t="shared" si="2"/>
        <v>1.6161097942121589</v>
      </c>
    </row>
    <row r="14" spans="1:17" x14ac:dyDescent="0.35">
      <c r="A14" s="4">
        <v>9</v>
      </c>
      <c r="B14" s="4">
        <f t="shared" si="2"/>
        <v>1.5790124012399103</v>
      </c>
    </row>
    <row r="15" spans="1:17" x14ac:dyDescent="0.35">
      <c r="A15" s="4">
        <v>10</v>
      </c>
      <c r="B15" s="4">
        <f t="shared" si="2"/>
        <v>1.538111029087923</v>
      </c>
    </row>
    <row r="16" spans="1:17" x14ac:dyDescent="0.35">
      <c r="A16" s="4">
        <v>11</v>
      </c>
      <c r="B16" s="4">
        <f t="shared" si="2"/>
        <v>1.4935042127442482</v>
      </c>
    </row>
    <row r="17" spans="1:14" x14ac:dyDescent="0.35">
      <c r="A17" s="4">
        <v>12</v>
      </c>
      <c r="B17" s="4">
        <f t="shared" si="2"/>
        <v>1.4452994139365531</v>
      </c>
    </row>
    <row r="18" spans="1:14" x14ac:dyDescent="0.35">
      <c r="A18" s="4">
        <v>13</v>
      </c>
      <c r="B18" s="4">
        <f t="shared" si="2"/>
        <v>1.3936127622474077</v>
      </c>
    </row>
    <row r="19" spans="1:14" x14ac:dyDescent="0.35">
      <c r="A19" s="4">
        <v>14</v>
      </c>
      <c r="B19" s="4">
        <f t="shared" si="2"/>
        <v>1.3385687753479472</v>
      </c>
    </row>
    <row r="20" spans="1:14" x14ac:dyDescent="0.35">
      <c r="A20" s="4">
        <v>15</v>
      </c>
      <c r="B20" s="4">
        <f t="shared" si="2"/>
        <v>1.2803000590238958</v>
      </c>
    </row>
    <row r="21" spans="1:14" x14ac:dyDescent="0.35">
      <c r="A21" s="4">
        <v>16</v>
      </c>
      <c r="B21" s="4">
        <f t="shared" si="2"/>
        <v>1.218946987716615</v>
      </c>
    </row>
    <row r="22" spans="1:14" x14ac:dyDescent="0.35">
      <c r="A22" s="4">
        <v>17</v>
      </c>
      <c r="B22" s="4">
        <f t="shared" si="2"/>
        <v>1.1546573663487785</v>
      </c>
    </row>
    <row r="23" spans="1:14" x14ac:dyDescent="0.35">
      <c r="A23" s="4">
        <v>18</v>
      </c>
      <c r="B23" s="4">
        <f t="shared" si="2"/>
        <v>1.0875860742493673</v>
      </c>
    </row>
    <row r="24" spans="1:14" x14ac:dyDescent="0.35">
      <c r="A24" s="4">
        <v>19</v>
      </c>
      <c r="B24" s="4">
        <f t="shared" si="2"/>
        <v>1.0178946920358001</v>
      </c>
    </row>
    <row r="25" spans="1:14" x14ac:dyDescent="0.35">
      <c r="A25" s="4">
        <v>20</v>
      </c>
      <c r="B25" s="4">
        <f t="shared" si="2"/>
        <v>0.94575111235207354</v>
      </c>
    </row>
    <row r="26" spans="1:14" x14ac:dyDescent="0.35">
      <c r="A26" s="4">
        <v>21</v>
      </c>
      <c r="B26" s="4">
        <f t="shared" si="2"/>
        <v>0.87132913540067702</v>
      </c>
    </row>
    <row r="27" spans="1:14" x14ac:dyDescent="0.35">
      <c r="A27" s="4">
        <v>22</v>
      </c>
      <c r="B27" s="4">
        <f t="shared" si="2"/>
        <v>0.79480805024268186</v>
      </c>
    </row>
    <row r="28" spans="1:14" x14ac:dyDescent="0.35">
      <c r="A28" s="4">
        <v>23</v>
      </c>
      <c r="B28" s="4">
        <f t="shared" si="2"/>
        <v>0.71637220287468872</v>
      </c>
    </row>
    <row r="29" spans="1:14" x14ac:dyDescent="0.35">
      <c r="A29" s="4">
        <v>24</v>
      </c>
      <c r="B29" s="4">
        <f t="shared" si="2"/>
        <v>0.63621055212317623</v>
      </c>
    </row>
    <row r="30" spans="1:14" x14ac:dyDescent="0.35">
      <c r="A30" s="4">
        <v>25</v>
      </c>
      <c r="B30" s="4">
        <f t="shared" si="2"/>
        <v>0.55451621442613608</v>
      </c>
    </row>
    <row r="31" spans="1:14" x14ac:dyDescent="0.35">
      <c r="A31" s="4">
        <v>26</v>
      </c>
      <c r="B31" s="4">
        <f t="shared" si="2"/>
        <v>0.47148599859865931</v>
      </c>
    </row>
    <row r="32" spans="1:14" x14ac:dyDescent="0.35">
      <c r="A32" s="4">
        <v>27</v>
      </c>
      <c r="B32" s="4">
        <f t="shared" si="2"/>
        <v>0.38731993170326268</v>
      </c>
      <c r="L32">
        <v>3.3330000000000002</v>
      </c>
      <c r="N32">
        <f>COS(0)</f>
        <v>1</v>
      </c>
    </row>
    <row r="33" spans="1:15" x14ac:dyDescent="0.35">
      <c r="A33" s="4">
        <v>28</v>
      </c>
      <c r="B33" s="4">
        <f t="shared" si="2"/>
        <v>0.30222077716717322</v>
      </c>
      <c r="K33" t="s">
        <v>13</v>
      </c>
      <c r="L33">
        <f>L32*L32</f>
        <v>11.108889000000001</v>
      </c>
      <c r="N33">
        <f>COS(1)</f>
        <v>0.54030230586813977</v>
      </c>
    </row>
    <row r="34" spans="1:15" x14ac:dyDescent="0.35">
      <c r="A34" s="4">
        <v>29</v>
      </c>
      <c r="B34" s="4">
        <f t="shared" si="2"/>
        <v>0.21639354630747443</v>
      </c>
    </row>
    <row r="35" spans="1:15" x14ac:dyDescent="0.35">
      <c r="A35" s="4">
        <v>30</v>
      </c>
      <c r="B35" s="4">
        <f t="shared" si="2"/>
        <v>0.13004500444088518</v>
      </c>
      <c r="O35">
        <f>COS(PI()/9)</f>
        <v>0.93969262078590843</v>
      </c>
    </row>
    <row r="36" spans="1:15" x14ac:dyDescent="0.35">
      <c r="A36" s="4">
        <v>31</v>
      </c>
      <c r="B36" s="4">
        <f t="shared" si="2"/>
        <v>4.3383172768000348E-2</v>
      </c>
      <c r="M36">
        <f>COS((PI()/3)+(PI()/6))</f>
        <v>6.1257422745431001E-17</v>
      </c>
    </row>
    <row r="37" spans="1:15" x14ac:dyDescent="0.35">
      <c r="A37" s="4">
        <v>32</v>
      </c>
      <c r="B37" s="4">
        <f t="shared" si="2"/>
        <v>-4.3383172767999738E-2</v>
      </c>
    </row>
    <row r="38" spans="1:15" x14ac:dyDescent="0.35">
      <c r="A38" s="4">
        <v>33</v>
      </c>
      <c r="B38" s="4">
        <f t="shared" si="2"/>
        <v>-0.13004500444088457</v>
      </c>
    </row>
    <row r="39" spans="1:15" x14ac:dyDescent="0.35">
      <c r="A39" s="4">
        <v>34</v>
      </c>
      <c r="B39" s="4">
        <f t="shared" si="2"/>
        <v>-0.2163935463074742</v>
      </c>
    </row>
    <row r="40" spans="1:15" x14ac:dyDescent="0.35">
      <c r="A40" s="4">
        <v>35</v>
      </c>
      <c r="B40" s="4">
        <f t="shared" si="2"/>
        <v>-0.30222077716717266</v>
      </c>
    </row>
    <row r="41" spans="1:15" x14ac:dyDescent="0.35">
      <c r="A41" s="4">
        <v>36</v>
      </c>
      <c r="B41" s="4">
        <f t="shared" si="2"/>
        <v>-0.38731993170326212</v>
      </c>
    </row>
    <row r="42" spans="1:15" x14ac:dyDescent="0.35">
      <c r="A42" s="4">
        <v>37</v>
      </c>
      <c r="B42" s="4">
        <f t="shared" si="2"/>
        <v>-0.47148599859865908</v>
      </c>
    </row>
    <row r="43" spans="1:15" x14ac:dyDescent="0.35">
      <c r="A43" s="4">
        <v>38</v>
      </c>
      <c r="B43" s="4">
        <f t="shared" si="2"/>
        <v>-0.55451621442613552</v>
      </c>
    </row>
    <row r="44" spans="1:15" x14ac:dyDescent="0.35">
      <c r="A44" s="4">
        <v>39</v>
      </c>
      <c r="B44" s="4">
        <f t="shared" si="2"/>
        <v>-0.63621055212317568</v>
      </c>
    </row>
    <row r="45" spans="1:15" x14ac:dyDescent="0.35">
      <c r="A45" s="4">
        <v>40</v>
      </c>
      <c r="B45" s="4">
        <f t="shared" si="2"/>
        <v>-0.71637220287468828</v>
      </c>
    </row>
    <row r="46" spans="1:15" x14ac:dyDescent="0.35">
      <c r="A46" s="4">
        <v>41</v>
      </c>
      <c r="B46" s="4">
        <f t="shared" si="2"/>
        <v>-0.79480805024268097</v>
      </c>
    </row>
    <row r="47" spans="1:15" x14ac:dyDescent="0.35">
      <c r="A47" s="4">
        <v>42</v>
      </c>
      <c r="B47" s="4">
        <f t="shared" si="2"/>
        <v>-0.8713291354006768</v>
      </c>
    </row>
    <row r="48" spans="1:15" x14ac:dyDescent="0.35">
      <c r="A48" s="4">
        <v>43</v>
      </c>
      <c r="B48" s="4">
        <f t="shared" si="2"/>
        <v>-0.94575111235207321</v>
      </c>
    </row>
    <row r="49" spans="1:2" x14ac:dyDescent="0.35">
      <c r="A49" s="4">
        <v>44</v>
      </c>
      <c r="B49" s="4">
        <f t="shared" si="2"/>
        <v>-1.0178946920357996</v>
      </c>
    </row>
    <row r="50" spans="1:2" x14ac:dyDescent="0.35">
      <c r="A50" s="4">
        <v>45</v>
      </c>
      <c r="B50" s="4">
        <f t="shared" si="2"/>
        <v>-1.087586074249367</v>
      </c>
    </row>
    <row r="51" spans="1:2" x14ac:dyDescent="0.35">
      <c r="A51" s="4">
        <v>46</v>
      </c>
      <c r="B51" s="4">
        <f t="shared" si="2"/>
        <v>-1.154657366348778</v>
      </c>
    </row>
    <row r="52" spans="1:2" x14ac:dyDescent="0.35">
      <c r="A52" s="4">
        <v>47</v>
      </c>
      <c r="B52" s="4">
        <f t="shared" si="2"/>
        <v>-1.218946987716615</v>
      </c>
    </row>
    <row r="53" spans="1:2" x14ac:dyDescent="0.35">
      <c r="A53" s="4">
        <v>48</v>
      </c>
      <c r="B53" s="4">
        <f t="shared" si="2"/>
        <v>-1.2803000590238955</v>
      </c>
    </row>
    <row r="54" spans="1:2" x14ac:dyDescent="0.35">
      <c r="A54" s="4">
        <v>49</v>
      </c>
      <c r="B54" s="4">
        <f t="shared" si="2"/>
        <v>-1.3385687753479467</v>
      </c>
    </row>
    <row r="55" spans="1:2" x14ac:dyDescent="0.35">
      <c r="A55" s="4">
        <v>50</v>
      </c>
      <c r="B55" s="4">
        <f t="shared" si="2"/>
        <v>-1.3936127622474077</v>
      </c>
    </row>
    <row r="56" spans="1:2" x14ac:dyDescent="0.35">
      <c r="A56" s="4">
        <v>51</v>
      </c>
      <c r="B56" s="4">
        <f t="shared" si="2"/>
        <v>-1.4452994139365529</v>
      </c>
    </row>
    <row r="57" spans="1:2" x14ac:dyDescent="0.35">
      <c r="A57" s="4">
        <v>52</v>
      </c>
      <c r="B57" s="4">
        <f t="shared" si="2"/>
        <v>-1.4935042127442482</v>
      </c>
    </row>
    <row r="58" spans="1:2" x14ac:dyDescent="0.35">
      <c r="A58" s="4">
        <v>53</v>
      </c>
      <c r="B58" s="4">
        <f t="shared" si="2"/>
        <v>-1.5381110290879227</v>
      </c>
    </row>
    <row r="59" spans="1:2" x14ac:dyDescent="0.35">
      <c r="A59" s="4">
        <v>54</v>
      </c>
      <c r="B59" s="4">
        <f t="shared" si="2"/>
        <v>-1.57901240123991</v>
      </c>
    </row>
    <row r="60" spans="1:2" x14ac:dyDescent="0.35">
      <c r="A60" s="4">
        <v>55</v>
      </c>
      <c r="B60" s="4">
        <f t="shared" si="2"/>
        <v>-1.6161097942121589</v>
      </c>
    </row>
    <row r="61" spans="1:2" x14ac:dyDescent="0.35">
      <c r="A61" s="4">
        <v>56</v>
      </c>
      <c r="B61" s="4">
        <f t="shared" si="2"/>
        <v>-1.6493138371356506</v>
      </c>
    </row>
    <row r="62" spans="1:2" x14ac:dyDescent="0.35">
      <c r="A62" s="4">
        <v>57</v>
      </c>
      <c r="B62" s="4">
        <f t="shared" si="2"/>
        <v>-1.6785445385626523</v>
      </c>
    </row>
    <row r="63" spans="1:2" x14ac:dyDescent="0.35">
      <c r="A63" s="4">
        <v>58</v>
      </c>
      <c r="B63" s="4">
        <f t="shared" si="2"/>
        <v>-1.7037314791731193</v>
      </c>
    </row>
    <row r="64" spans="1:2" x14ac:dyDescent="0.35">
      <c r="A64" s="4">
        <v>59</v>
      </c>
      <c r="B64" s="4">
        <f t="shared" si="2"/>
        <v>-1.7248139814210053</v>
      </c>
    </row>
    <row r="65" spans="1:2" x14ac:dyDescent="0.35">
      <c r="A65" s="4">
        <v>60</v>
      </c>
      <c r="B65" s="4">
        <f t="shared" si="2"/>
        <v>-1.7417412557117862</v>
      </c>
    </row>
    <row r="66" spans="1:2" x14ac:dyDescent="0.35">
      <c r="A66" s="4">
        <v>61</v>
      </c>
      <c r="B66" s="4">
        <f t="shared" si="2"/>
        <v>-1.7544725227590414</v>
      </c>
    </row>
    <row r="67" spans="1:2" x14ac:dyDescent="0.35">
      <c r="A67" s="4">
        <v>62</v>
      </c>
      <c r="B67" s="4">
        <f t="shared" si="2"/>
        <v>-1.7629771118253268</v>
      </c>
    </row>
    <row r="68" spans="1:2" x14ac:dyDescent="0.35">
      <c r="A68" s="4">
        <v>63</v>
      </c>
      <c r="B68" s="4">
        <f t="shared" si="2"/>
        <v>-1.7672345346106675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Cardoso</dc:creator>
  <cp:lastModifiedBy>Maria Cardoso</cp:lastModifiedBy>
  <dcterms:created xsi:type="dcterms:W3CDTF">2026-03-31T23:17:50Z</dcterms:created>
  <dcterms:modified xsi:type="dcterms:W3CDTF">2026-04-01T17:27:53Z</dcterms:modified>
</cp:coreProperties>
</file>